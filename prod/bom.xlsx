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<sst xmlns="http://schemas.openxmlformats.org/spreadsheetml/2006/main" count="36" uniqueCount="33">
  <si>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</si>
  <si>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</si>
  <si>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</si>
  <si>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</si>
  <si>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</si>
  <si>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U Pricing AUD</t>
  </si>
  <si>
    <t xml:space="preserve">U Pricing USD</t>
  </si>
  <si>
    <t xml:space="preserve">Total prixing USD</t>
  </si>
  <si>
    <t xml:space="preserve">Supplier</t>
  </si>
  <si>
    <t xml:space="preserve">Part Num</t>
  </si>
  <si>
    <t xml:space="preserve">A1</t>
  </si>
  <si>
    <t xml:space="preserve">RaspberryPi_Pico_Common_THT</t>
  </si>
  <si>
    <t xml:space="preserve">RaspberryPi_Pico</t>
  </si>
  <si>
    <t xml:space="preserve">Aliexpress</t>
  </si>
  <si>
    <t xml:space="preserve">https://www.aliexpress.com/item/1005009754424524.html?src=google&amp;src=google&amp;albch=shopping&amp;acnt=742-864-1166&amp;isdl=y&amp;slnk=&amp;plac=&amp;mtctp=&amp;albbt=Google_7_shopping&amp;aff_platform=google&amp;aff_short_key=UneMJZVf&amp;gclsrc=aw.ds&amp;albagn=888888&amp;ds_e_adid=&amp;ds_e_matchtype=&amp;ds_e_device=c&amp;ds_e_network=x&amp;ds_e_product_group_id=&amp;ds_e_product_id=en1005009754424524&amp;ds_e_product_merchant_id=653206057&amp;ds_e_product_country=AU&amp;ds_e_product_language=en&amp;ds_e_product_channel=online&amp;ds_e_product_store_id=&amp;ds_url_v=2&amp;albcp=22864114952&amp;albag=&amp;isSmbAutoCall=false&amp;needSmbHouyi=false&amp;gad_source=1&amp;gad_campaignid=22867946359&amp;gbraid=0AAAAA99aYpflg2HkEkkz_bNbTtQ1c2tX8&amp;gclid=Cj0KCQjw-MDTBhCgARIsAKAkdlR3F15904xb-lTPzWzk6u3Ujw-CxoM206XUA6KNsVb3y9FKeELbGZ0aApzAEALw_wcB</t>
  </si>
  <si>
    <t xml:space="preserve"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D71, D72, D73, D74, D75, D76, D77, D78, D79, D80, D81, D82, D83, D84, D85, D86, D87</t>
  </si>
  <si>
    <t xml:space="preserve">D_DO-35_SOD27_P7.62mm_Horizontal</t>
  </si>
  <si>
    <t xml:space="preserve">1N4148</t>
  </si>
  <si>
    <t xml:space="preserve">Jaycar</t>
  </si>
  <si>
    <t xml:space="preserve">ZR1105</t>
  </si>
  <si>
    <t xml:space="preserve">N/A</t>
  </si>
  <si>
    <t xml:space="preserve">Keycaps</t>
  </si>
  <si>
    <t xml:space="preserve">Keychron</t>
  </si>
  <si>
    <t xml:space="preserve">Cherry Profile Double - Shot PBT Full Set Keycaps - Hacker Mint</t>
  </si>
  <si>
    <t xml:space="preserve">SW1, SW2, SW3, SW4, SW5, SW6, SW7, SW8, SW9, SW10, SW11, SW12, SW13, SW14, SW15, SW16, SW17, SW18, SW19, SW20, SW21, SW22, SW23, SW24, SW25, SW26, SW27, SW28, SW29, SW30, SW31, SW32, SW33, SW34, SW35, SW36, SW37, SW38, SW39, SW40, SW41, SW42, SW43, SW44, SW45, SW46, SW47, SW48, SW49, SW50, SW51, SW52, SW53, SW54, SW55, SW56, SW57, SW58, SW59, SW60, SW61, SW62, SW63, SW64, SW65, SW66, SW67, SW68, SW69, SW70, SW71, SW72, SW73, SW74, SW75, SW76, SW77, SW78, SW79, SW80, SW81, SW82, SW83, SW84, SW85, SW86, SW87</t>
  </si>
  <si>
    <t xml:space="preserve">SW_MX_1u, SW_MX_1.25u, SW_MX_1.5u, SW_MX_1.75u</t>
  </si>
  <si>
    <t xml:space="preserve">MX Brown Switches</t>
  </si>
  <si>
    <t xml:space="preserve">https://www.aliexpress.com/item/1005008998414457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en1005008998414457&amp;ds_e_product_merchant_id=569934035&amp;ds_e_product_country=AU&amp;ds_e_product_language=en&amp;ds_e_product_channel=online&amp;ds_e_product_store_id=&amp;ds_url_v=2&amp;albcp=23552171215&amp;albag=&amp;isSmbAutoCall=false&amp;needSmbHouyi=false&amp;gad_source=1&amp;gad_campaignid=23552203321&amp;gbraid=0AAAABCRFad9ySvZ9N-8xePh658XRLSJYL&amp;gclid=Cj0KCQjw-MDTBhCgARIsAKAkdlQQEJHJIf9NLW1GDtXbR_NQ83Qj_HsOAeCzOqZMJMOay4NGuTK_rq8aApkqEALw_wcB</t>
  </si>
  <si>
    <t xml:space="preserve">S1, S2</t>
  </si>
  <si>
    <t xml:space="preserve">STAB_MX_2.25u</t>
  </si>
  <si>
    <t xml:space="preserve">MX_stab</t>
  </si>
  <si>
    <t xml:space="preserve">S3</t>
  </si>
  <si>
    <t xml:space="preserve">STAB_MX_6.25u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</si>
</sst>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B1" colorId="64" zoomScale="136" zoomScaleNormal="136" zoomScalePageLayoutView="100" workbookViewId="0">
      <selection pane="topLeft" activeCell="D8" activeCellId="0" sqref="D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  <col collapsed="false" customWidth="true" hidden="false" outlineLevel="0" max="3" min="3" style="1" width="51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n">
        <v>1</v>
      </c>
      <c r="B2" s="3" t="s">
        <v>10</v>
      </c>
      <c r="C2" s="3" t="s">
        <v>11</v>
      </c>
      <c r="D2" s="3" t="n">
        <v>1</v>
      </c>
      <c r="E2" s="3" t="s">
        <v>12</v>
      </c>
      <c r="F2" s="3" t="n">
        <v>3.29</v>
      </c>
      <c r="G2" s="3" t="n">
        <f aca="false">PRODUCT(F2*0.7)</f>
        <v>2.303</v>
      </c>
      <c r="H2" s="1" t="n">
        <v>2.303</v>
      </c>
      <c r="I2" s="3" t="s">
        <v>13</v>
      </c>
      <c r="J2" s="1" t="s">
        <v>14</v>
      </c>
    </row>
    <row r="3" customFormat="false" ht="15" hidden="false" customHeight="true" outlineLevel="0" collapsed="false">
      <c r="A3" s="3" t="n">
        <v>2</v>
      </c>
      <c r="B3" s="3" t="s">
        <v>15</v>
      </c>
      <c r="C3" s="3" t="s">
        <v>16</v>
      </c>
      <c r="D3" s="3" t="n">
        <v>87</v>
      </c>
      <c r="E3" s="3" t="s">
        <v>17</v>
      </c>
      <c r="F3" s="3" t="n">
        <v>0.0895</v>
      </c>
      <c r="G3" s="3" t="n">
        <f aca="false">PRODUCT(F3*0.7)</f>
        <v>0.06265</v>
      </c>
      <c r="H3" s="1" t="n">
        <v>6.28</v>
      </c>
      <c r="I3" s="3" t="s">
        <v>18</v>
      </c>
      <c r="J3" s="1" t="s">
        <v>19</v>
      </c>
    </row>
    <row r="4" customFormat="false" ht="15" hidden="false" customHeight="true" outlineLevel="0" collapsed="false">
      <c r="A4" s="3" t="n">
        <v>3</v>
      </c>
      <c r="B4" s="3" t="s">
        <v>20</v>
      </c>
      <c r="C4" s="3" t="s">
        <v>20</v>
      </c>
      <c r="D4" s="3" t="n">
        <v>87</v>
      </c>
      <c r="E4" s="3" t="s">
        <v>21</v>
      </c>
      <c r="F4" s="3" t="n">
        <v>74</v>
      </c>
      <c r="G4" s="3" t="n">
        <f aca="false">PRODUCT(F4*0.7)</f>
        <v>51.8</v>
      </c>
      <c r="H4" s="1" t="n">
        <v>51.8</v>
      </c>
      <c r="I4" s="3" t="s">
        <v>22</v>
      </c>
      <c r="J4" s="1" t="s">
        <v>23</v>
      </c>
    </row>
    <row r="5" customFormat="false" ht="15" hidden="false" customHeight="true" outlineLevel="0" collapsed="false">
      <c r="A5" s="3" t="n">
        <v>4</v>
      </c>
      <c r="B5" s="3" t="s">
        <v>24</v>
      </c>
      <c r="C5" s="3" t="s">
        <v>25</v>
      </c>
      <c r="D5" s="1" t="n">
        <v>87</v>
      </c>
      <c r="E5" s="3" t="s">
        <v>26</v>
      </c>
      <c r="F5" s="3" t="n">
        <v>43.11</v>
      </c>
      <c r="G5" s="3" t="n">
        <f aca="false">PRODUCT(F5*0.7)</f>
        <v>30.177</v>
      </c>
      <c r="I5" s="1" t="s">
        <v>13</v>
      </c>
      <c r="J5" s="1" t="s">
        <v>27</v>
      </c>
    </row>
    <row r="6" customFormat="false" ht="15" hidden="false" customHeight="true" outlineLevel="0" collapsed="false">
      <c r="A6" s="3" t="n">
        <v>5</v>
      </c>
      <c r="B6" s="3" t="s">
        <v>28</v>
      </c>
      <c r="C6" s="3" t="s">
        <v>29</v>
      </c>
      <c r="D6" s="3" t="n">
        <v>2</v>
      </c>
      <c r="E6" s="3" t="s">
        <v>30</v>
      </c>
      <c r="F6" s="3"/>
      <c r="G6" s="3"/>
      <c r="I6" s="3"/>
      <c r="J6" s="1"/>
    </row>
    <row r="7" customFormat="false" ht="15" hidden="false" customHeight="true" outlineLevel="0" collapsed="false">
      <c r="A7" s="3" t="n">
        <v>6</v>
      </c>
      <c r="B7" s="3" t="s">
        <v>31</v>
      </c>
      <c r="C7" s="3" t="s">
        <v>32</v>
      </c>
      <c r="D7" s="3" t="n">
        <v>1</v>
      </c>
      <c r="E7" s="3" t="s">
        <v>30</v>
      </c>
      <c r="F7" s="3"/>
      <c r="G7" s="3"/>
      <c r="I7" s="3"/>
      <c r="J7" s="1"/>
    </row>
    <row r="8" customFormat="false" ht="15" hidden="false" customHeight="true" outlineLevel="0" collapsed="false">
      <c r="B8" s="3"/>
      <c r="C8" s="3"/>
      <c r="E8" s="3"/>
      <c r="F8" s="3"/>
      <c r="G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2026-08-04T02:46:59Z</dcterms:created>
  <dc:creator>openpyxl</dc:creator>
  <dc:description/>
  <dc:language>en-US</dc:language>
  <cp:lastModifiedBy>Michael Robinson</cp:lastModifiedBy>
  <dcterms:modified xsi:type="dcterms:W3CDTF">2026-08-04T06:16:23Z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